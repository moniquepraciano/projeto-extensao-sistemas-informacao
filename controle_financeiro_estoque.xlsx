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D:\working\waccache\CP1PEPF000072F9\EXCELCNV\f1838ba2-a598-4fe8-9f8a-44f4c0a64862\"/>
    </mc:Choice>
  </mc:AlternateContent>
  <xr:revisionPtr revIDLastSave="0" documentId="8_{2CB5664A-A4E2-44F0-B02F-B44F55039BBF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Controle de Estoque" sheetId="1" r:id="rId1"/>
    <sheet name="Resumo" sheetId="2" r:id="rId2"/>
    <sheet name="Instruçõ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<sst xmlns="http://schemas.openxmlformats.org/spreadsheetml/2006/main" count="110" uniqueCount="81">
  <si>
    <t>CONTROLE DE ESTOQUE</t>
  </si>
  <si>
    <t>Código</t>
  </si>
  <si>
    <t>Produto</t>
  </si>
  <si>
    <t>Categoria</t>
  </si>
  <si>
    <t>Unidade</t>
  </si>
  <si>
    <t>Estoque Mínimo</t>
  </si>
  <si>
    <t>Estoque Atual</t>
  </si>
  <si>
    <t>Valor Unitário</t>
  </si>
  <si>
    <t>Valor Total</t>
  </si>
  <si>
    <t>Status</t>
  </si>
  <si>
    <t>Última Atualização</t>
  </si>
  <si>
    <t>P001</t>
  </si>
  <si>
    <t>Notebook Dell Inspiron 15</t>
  </si>
  <si>
    <t>Informática</t>
  </si>
  <si>
    <t>UN</t>
  </si>
  <si>
    <t>P002</t>
  </si>
  <si>
    <t>Mouse Logitech Wireless</t>
  </si>
  <si>
    <t>P003</t>
  </si>
  <si>
    <t>Teclado Mecânico RGB</t>
  </si>
  <si>
    <t>P004</t>
  </si>
  <si>
    <t>Monitor LG 24 Polegadas</t>
  </si>
  <si>
    <t>P005</t>
  </si>
  <si>
    <t>Cadeira Escritório Ergonômica</t>
  </si>
  <si>
    <t>Móveis</t>
  </si>
  <si>
    <t>P006</t>
  </si>
  <si>
    <t>Mesa Escritório 120x60</t>
  </si>
  <si>
    <t>P007</t>
  </si>
  <si>
    <t>Impressora HP Multifuncional</t>
  </si>
  <si>
    <t>P008</t>
  </si>
  <si>
    <t>Papel A4 Sulfite 500 Folhas</t>
  </si>
  <si>
    <t>Papelaria</t>
  </si>
  <si>
    <t>CX</t>
  </si>
  <si>
    <t>P009</t>
  </si>
  <si>
    <t>Caneta Esferográfica Azul</t>
  </si>
  <si>
    <t>P010</t>
  </si>
  <si>
    <t>Grampeador Metal Grande</t>
  </si>
  <si>
    <t>P011</t>
  </si>
  <si>
    <t>HD Externo 1TB</t>
  </si>
  <si>
    <t>P012</t>
  </si>
  <si>
    <t>Webcam Full HD</t>
  </si>
  <si>
    <t>P013</t>
  </si>
  <si>
    <t>Headset Gamer</t>
  </si>
  <si>
    <t>P014</t>
  </si>
  <si>
    <t>Estabilizador 500VA</t>
  </si>
  <si>
    <t>P015</t>
  </si>
  <si>
    <t>Pasta Arquivo Morto</t>
  </si>
  <si>
    <t>TOTAIS</t>
  </si>
  <si>
    <t>RESUMO DO ESTOQUE</t>
  </si>
  <si>
    <t>Total de Produtos</t>
  </si>
  <si>
    <t>Valor Total em Estoque</t>
  </si>
  <si>
    <t>Produtos em Nível Crítico</t>
  </si>
  <si>
    <t>Produtos em Nível Baixo</t>
  </si>
  <si>
    <t>Produtos por Categoria</t>
  </si>
  <si>
    <t>Quantidade</t>
  </si>
  <si>
    <t>COMO USAR ESTA PLANILHA DE CONTROLE DE ESTOQUE</t>
  </si>
  <si>
    <t>📋 VISÃO GERAL:</t>
  </si>
  <si>
    <t>Esta planilha permite controlar seu estoque de forma simples e eficiente.</t>
  </si>
  <si>
    <t>🔧 COMO USAR:</t>
  </si>
  <si>
    <t>1. Na aba 'Controle de Estoque', adicione novos produtos nas linhas abaixo dos exemplos</t>
  </si>
  <si>
    <t>2. Preencha as células com fundo AMARELO (Estoque Atual) quando houver movimentação</t>
  </si>
  <si>
    <t>3. As colunas 'Valor Total' e 'Status' são calculadas automaticamente</t>
  </si>
  <si>
    <t>4. O Status mostra: CRÍTICO (vermelho), BAIXO (amarelo) ou NORMAL (verde)</t>
  </si>
  <si>
    <t>📊 COLUNAS:</t>
  </si>
  <si>
    <t>• Código: identificador único do produto</t>
  </si>
  <si>
    <t>• Produto: nome/descrição</t>
  </si>
  <si>
    <t>• Categoria: tipo do produto</t>
  </si>
  <si>
    <t>• Unidade: UN (unidade), CX (caixa), etc</t>
  </si>
  <si>
    <t>• Estoque Mínimo: quantidade mínima recomendada</t>
  </si>
  <si>
    <t>• Estoque Atual: quantidade atual (ATUALIZE AQUI)</t>
  </si>
  <si>
    <t>• Valor Unitário: preço de uma unidade</t>
  </si>
  <si>
    <t>• Valor Total: calculado automaticamente</t>
  </si>
  <si>
    <t>• Status: calculado automaticamente</t>
  </si>
  <si>
    <t>• Última Atualização: data da última movimentação</t>
  </si>
  <si>
    <t>📈 ABA RESUMO:</t>
  </si>
  <si>
    <t>Visualize rapidamente o total de produtos, valor em estoque e alertas.</t>
  </si>
  <si>
    <t>⚠️ ALERTAS:</t>
  </si>
  <si>
    <t>• CRÍTICO: estoque igual ou abaixo do mínimo</t>
  </si>
  <si>
    <t>• BAIXO: estoque até 50% acima do mínimo</t>
  </si>
  <si>
    <t>• NORMAL: estoque adequado</t>
  </si>
  <si>
    <t>💡 DICA:</t>
  </si>
  <si>
    <t>Revise semanalmente os produtos em status CRÍTICO ou BAIXO para fazer pedidos.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</si>
</sst>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b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EF3C7"/>
        <bgColor rgb="FFFEF3C7"/>
      </patternFill>
    </fill>
    <fill>
      <patternFill patternType="solid">
        <fgColor rgb="FFDBEAFE"/>
        <bgColor rgb="FFDBEAF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2" fillId="2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3" fillId="4" borderId="1" xfId="0" applyFont="1" applyFill="1" applyBorder="1" applyAlignment="1">
      <alignment horizontal="right" vertical="center"/>
    </xf>
    <xf numFmtId="0" fontId="0" fillId="0" borderId="1" xfId="0" applyBorder="1" applyAlignment="1"/>
    <xf numFmtId="0" fontId="5" fillId="2" borderId="0" xfId="0" applyFont="1" applyFill="1" applyAlignment="1">
      <alignment horizontal="center" vertical="center"/>
    </xf>
    <xf numFmtId="0" fontId="3" fillId="4" borderId="0" xfId="0" applyFont="1" applyFill="1" applyAlignment="1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3">
    <dxf>
      <font>
        <b/>
        <color rgb="FF065F46"/>
      </font>
      <fill>
        <patternFill patternType="solid">
          <fgColor rgb="FFD1FAE5"/>
          <bgColor rgb="FFD1FAE5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Produtos por Categoria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Resumo!$B$9</c:f>
              <c:strCache>
                <c:ptCount val="1"/>
                <c:pt idx="0">
                  <c:v>Quantidade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Resumo!$A$10:$A$12</c:f>
              <c:strCache>
                <c:ptCount val="3"/>
                <c:pt idx="0">
                  <c:v>Informática</c:v>
                </c:pt>
                <c:pt idx="1">
                  <c:v>Móveis</c:v>
                </c:pt>
                <c:pt idx="2">
                  <c:v>Papelaria</c:v>
                </c:pt>
              </c:strCache>
            </c:strRef>
          </c:cat>
          <c:val>
            <c:numRef>
              <c:f>Resumo!$B$10:$B$12</c:f>
              <c:numCache>
                <c:formatCode>General</c:formatCode>
                <c:ptCount val="3"/>
                <c:pt idx="0">
                  <c:v>9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6-4D10-82DF-2F8997B62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Quantidade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I18" sqref="I18"/>
    </sheetView>
  </sheetViews>
  <sheetFormatPr defaultRowHeight="15"/>
  <cols>
    <col min="1" max="1" width="10" customWidth="1"/>
    <col min="2" max="2" width="35" customWidth="1"/>
    <col min="3" max="3" width="15" customWidth="1"/>
    <col min="4" max="4" width="10" customWidth="1"/>
    <col min="5" max="6" width="14" customWidth="1"/>
    <col min="7" max="8" width="15" customWidth="1"/>
    <col min="9" max="9" width="14.5703125" customWidth="1"/>
    <col min="10" max="10" width="18" customWidth="1"/>
  </cols>
  <sheetData>
    <row r="1" spans="1:10" ht="30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2" t="s">
        <v>11</v>
      </c>
      <c r="B3" s="2" t="s">
        <v>12</v>
      </c>
      <c r="C3" s="2" t="s">
        <v>13</v>
      </c>
      <c r="D3" s="2" t="s">
        <v>14</v>
      </c>
      <c r="E3" s="2">
        <v>5</v>
      </c>
      <c r="F3" s="3">
        <v>12</v>
      </c>
      <c r="G3" s="4">
        <v>2899.9</v>
      </c>
      <c r="H3" s="4">
        <f t="shared" ref="H3:H17" si="0">F3*G3</f>
        <v>34798.800000000003</v>
      </c>
      <c r="I3" s="2" t="str">
        <f>IF(F3&lt;=E3,"CRÍTICO",IF(F3&lt;=E3*1.5,"BAIXO","NORMAL"))</f>
        <v>NORMAL</v>
      </c>
      <c r="J3" s="5">
        <v>46044.935867686261</v>
      </c>
    </row>
    <row r="4" spans="1:10">
      <c r="A4" s="2" t="s">
        <v>15</v>
      </c>
      <c r="B4" s="2" t="s">
        <v>16</v>
      </c>
      <c r="C4" s="2" t="s">
        <v>13</v>
      </c>
      <c r="D4" s="2" t="s">
        <v>14</v>
      </c>
      <c r="E4" s="2">
        <v>20</v>
      </c>
      <c r="F4" s="3">
        <v>45</v>
      </c>
      <c r="G4" s="4">
        <v>89.9</v>
      </c>
      <c r="H4" s="4">
        <f t="shared" si="0"/>
        <v>4045.5000000000005</v>
      </c>
      <c r="I4" s="2" t="str">
        <f>IF(F4&lt;=E4,"CRÍTICO",IF(F4&lt;=E4*1.5,"BAIXO","NORMAL"))</f>
        <v>NORMAL</v>
      </c>
      <c r="J4" s="5">
        <v>46047.935867686261</v>
      </c>
    </row>
    <row r="5" spans="1:10">
      <c r="A5" s="2" t="s">
        <v>17</v>
      </c>
      <c r="B5" s="2" t="s">
        <v>18</v>
      </c>
      <c r="C5" s="2" t="s">
        <v>13</v>
      </c>
      <c r="D5" s="2" t="s">
        <v>14</v>
      </c>
      <c r="E5" s="2">
        <v>15</v>
      </c>
      <c r="F5" s="3">
        <v>8</v>
      </c>
      <c r="G5" s="4">
        <v>349.9</v>
      </c>
      <c r="H5" s="4">
        <f t="shared" si="0"/>
        <v>2799.2</v>
      </c>
      <c r="I5" s="2" t="str">
        <f>IF(F5&lt;=E5,"CRÍTICO",IF(F5&lt;=E5*1.5,"BAIXO","NORMAL"))</f>
        <v>CRÍTICO</v>
      </c>
      <c r="J5" s="5">
        <v>46048.935867686261</v>
      </c>
    </row>
    <row r="6" spans="1:10">
      <c r="A6" s="2" t="s">
        <v>19</v>
      </c>
      <c r="B6" s="2" t="s">
        <v>20</v>
      </c>
      <c r="C6" s="2" t="s">
        <v>13</v>
      </c>
      <c r="D6" s="2" t="s">
        <v>14</v>
      </c>
      <c r="E6" s="2">
        <v>10</v>
      </c>
      <c r="F6" s="3">
        <v>18</v>
      </c>
      <c r="G6" s="4">
        <v>899</v>
      </c>
      <c r="H6" s="4">
        <f t="shared" si="0"/>
        <v>16182</v>
      </c>
      <c r="I6" s="2" t="str">
        <f>IF(F6&lt;=E6,"CRÍTICO",IF(F6&lt;=E6*1.5,"BAIXO","NORMAL"))</f>
        <v>NORMAL</v>
      </c>
      <c r="J6" s="5">
        <v>46043.935867686261</v>
      </c>
    </row>
    <row r="7" spans="1:10">
      <c r="A7" s="2" t="s">
        <v>21</v>
      </c>
      <c r="B7" s="2" t="s">
        <v>22</v>
      </c>
      <c r="C7" s="2" t="s">
        <v>23</v>
      </c>
      <c r="D7" s="2" t="s">
        <v>14</v>
      </c>
      <c r="E7" s="2">
        <v>8</v>
      </c>
      <c r="F7" s="3">
        <v>3</v>
      </c>
      <c r="G7" s="4">
        <v>1299</v>
      </c>
      <c r="H7" s="4">
        <f t="shared" si="0"/>
        <v>3897</v>
      </c>
      <c r="I7" s="2" t="str">
        <f>IF(F7&lt;=E7,"CRÍTICO",IF(F7&lt;=E7*1.5,"BAIXO","NORMAL"))</f>
        <v>CRÍTICO</v>
      </c>
      <c r="J7" s="5">
        <v>46052.935867686261</v>
      </c>
    </row>
    <row r="8" spans="1:10">
      <c r="A8" s="2" t="s">
        <v>24</v>
      </c>
      <c r="B8" s="2" t="s">
        <v>25</v>
      </c>
      <c r="C8" s="2" t="s">
        <v>23</v>
      </c>
      <c r="D8" s="2" t="s">
        <v>14</v>
      </c>
      <c r="E8" s="2">
        <v>5</v>
      </c>
      <c r="F8" s="3">
        <v>7</v>
      </c>
      <c r="G8" s="4">
        <v>599</v>
      </c>
      <c r="H8" s="4">
        <f t="shared" si="0"/>
        <v>4193</v>
      </c>
      <c r="I8" s="2" t="str">
        <f>IF(F8&lt;=E8,"CRÍTICO",IF(F8&lt;=E8*1.5,"BAIXO","NORMAL"))</f>
        <v>BAIXO</v>
      </c>
      <c r="J8" s="5">
        <v>46048.935867686261</v>
      </c>
    </row>
    <row r="9" spans="1:10">
      <c r="A9" s="2" t="s">
        <v>26</v>
      </c>
      <c r="B9" s="2" t="s">
        <v>27</v>
      </c>
      <c r="C9" s="2" t="s">
        <v>13</v>
      </c>
      <c r="D9" s="2" t="s">
        <v>14</v>
      </c>
      <c r="E9" s="2">
        <v>6</v>
      </c>
      <c r="F9" s="3">
        <v>14</v>
      </c>
      <c r="G9" s="4">
        <v>899</v>
      </c>
      <c r="H9" s="4">
        <f t="shared" si="0"/>
        <v>12586</v>
      </c>
      <c r="I9" s="2" t="str">
        <f>IF(F9&lt;=E9,"CRÍTICO",IF(F9&lt;=E9*1.5,"BAIXO","NORMAL"))</f>
        <v>NORMAL</v>
      </c>
      <c r="J9" s="5">
        <v>46049.935867686261</v>
      </c>
    </row>
    <row r="10" spans="1:10">
      <c r="A10" s="2" t="s">
        <v>28</v>
      </c>
      <c r="B10" s="2" t="s">
        <v>29</v>
      </c>
      <c r="C10" s="2" t="s">
        <v>30</v>
      </c>
      <c r="D10" s="2" t="s">
        <v>31</v>
      </c>
      <c r="E10" s="2">
        <v>50</v>
      </c>
      <c r="F10" s="3">
        <v>120</v>
      </c>
      <c r="G10" s="4">
        <v>24.9</v>
      </c>
      <c r="H10" s="4">
        <f t="shared" si="0"/>
        <v>2988</v>
      </c>
      <c r="I10" s="2" t="str">
        <f>IF(F10&lt;=E10,"CRÍTICO",IF(F10&lt;=E10*1.5,"BAIXO","NORMAL"))</f>
        <v>NORMAL</v>
      </c>
      <c r="J10" s="5">
        <v>46046.935867686261</v>
      </c>
    </row>
    <row r="11" spans="1:10">
      <c r="A11" s="2" t="s">
        <v>32</v>
      </c>
      <c r="B11" s="2" t="s">
        <v>33</v>
      </c>
      <c r="C11" s="2" t="s">
        <v>30</v>
      </c>
      <c r="D11" s="2" t="s">
        <v>31</v>
      </c>
      <c r="E11" s="2">
        <v>100</v>
      </c>
      <c r="F11" s="3">
        <v>45</v>
      </c>
      <c r="G11" s="4">
        <v>18.5</v>
      </c>
      <c r="H11" s="4">
        <f t="shared" si="0"/>
        <v>832.5</v>
      </c>
      <c r="I11" s="2" t="str">
        <f>IF(F11&lt;=E11,"CRÍTICO",IF(F11&lt;=E11*1.5,"BAIXO","NORMAL"))</f>
        <v>CRÍTICO</v>
      </c>
      <c r="J11" s="5">
        <v>46052.935867686261</v>
      </c>
    </row>
    <row r="12" spans="1:10">
      <c r="A12" s="2" t="s">
        <v>34</v>
      </c>
      <c r="B12" s="2" t="s">
        <v>35</v>
      </c>
      <c r="C12" s="2" t="s">
        <v>30</v>
      </c>
      <c r="D12" s="2" t="s">
        <v>14</v>
      </c>
      <c r="E12" s="2">
        <v>25</v>
      </c>
      <c r="F12" s="3">
        <v>32</v>
      </c>
      <c r="G12" s="4">
        <v>35.9</v>
      </c>
      <c r="H12" s="4">
        <f t="shared" si="0"/>
        <v>1148.8</v>
      </c>
      <c r="I12" s="2" t="str">
        <f>IF(F12&lt;=E12,"CRÍTICO",IF(F12&lt;=E12*1.5,"BAIXO","NORMAL"))</f>
        <v>BAIXO</v>
      </c>
      <c r="J12" s="5">
        <v>46055.935867686261</v>
      </c>
    </row>
    <row r="13" spans="1:10">
      <c r="A13" s="2" t="s">
        <v>36</v>
      </c>
      <c r="B13" s="2" t="s">
        <v>37</v>
      </c>
      <c r="C13" s="2" t="s">
        <v>13</v>
      </c>
      <c r="D13" s="2" t="s">
        <v>14</v>
      </c>
      <c r="E13" s="2">
        <v>12</v>
      </c>
      <c r="F13" s="3">
        <v>22</v>
      </c>
      <c r="G13" s="4">
        <v>349</v>
      </c>
      <c r="H13" s="4">
        <f t="shared" si="0"/>
        <v>7678</v>
      </c>
      <c r="I13" s="2" t="str">
        <f>IF(F13&lt;=E13,"CRÍTICO",IF(F13&lt;=E13*1.5,"BAIXO","NORMAL"))</f>
        <v>NORMAL</v>
      </c>
      <c r="J13" s="5">
        <v>46049.935867686261</v>
      </c>
    </row>
    <row r="14" spans="1:10">
      <c r="A14" s="2" t="s">
        <v>38</v>
      </c>
      <c r="B14" s="2" t="s">
        <v>39</v>
      </c>
      <c r="C14" s="2" t="s">
        <v>13</v>
      </c>
      <c r="D14" s="2" t="s">
        <v>14</v>
      </c>
      <c r="E14" s="2">
        <v>15</v>
      </c>
      <c r="F14" s="3">
        <v>9</v>
      </c>
      <c r="G14" s="4">
        <v>259</v>
      </c>
      <c r="H14" s="4">
        <f t="shared" si="0"/>
        <v>2331</v>
      </c>
      <c r="I14" s="2" t="str">
        <f>IF(F14&lt;=E14,"CRÍTICO",IF(F14&lt;=E14*1.5,"BAIXO","NORMAL"))</f>
        <v>CRÍTICO</v>
      </c>
      <c r="J14" s="5">
        <v>46051.935867686261</v>
      </c>
    </row>
    <row r="15" spans="1:10">
      <c r="A15" s="2" t="s">
        <v>40</v>
      </c>
      <c r="B15" s="2" t="s">
        <v>41</v>
      </c>
      <c r="C15" s="2" t="s">
        <v>13</v>
      </c>
      <c r="D15" s="2" t="s">
        <v>14</v>
      </c>
      <c r="E15" s="2">
        <v>18</v>
      </c>
      <c r="F15" s="3">
        <v>27</v>
      </c>
      <c r="G15" s="4">
        <v>189.9</v>
      </c>
      <c r="H15" s="4">
        <f t="shared" si="0"/>
        <v>5127.3</v>
      </c>
      <c r="I15" s="2" t="str">
        <f>IF(F15&lt;=E15,"CRÍTICO",IF(F15&lt;=E15*1.5,"BAIXO","NORMAL"))</f>
        <v>BAIXO</v>
      </c>
      <c r="J15" s="5">
        <v>46047.935867686261</v>
      </c>
    </row>
    <row r="16" spans="1:10">
      <c r="A16" s="2" t="s">
        <v>42</v>
      </c>
      <c r="B16" s="2" t="s">
        <v>43</v>
      </c>
      <c r="C16" s="2" t="s">
        <v>13</v>
      </c>
      <c r="D16" s="2" t="s">
        <v>14</v>
      </c>
      <c r="E16" s="2">
        <v>10</v>
      </c>
      <c r="F16" s="3">
        <v>5</v>
      </c>
      <c r="G16" s="4">
        <v>129</v>
      </c>
      <c r="H16" s="4">
        <f t="shared" si="0"/>
        <v>645</v>
      </c>
      <c r="I16" s="2" t="str">
        <f>IF(F16&lt;=E16,"CRÍTICO",IF(F16&lt;=E16*1.5,"BAIXO","NORMAL"))</f>
        <v>CRÍTICO</v>
      </c>
      <c r="J16" s="5">
        <v>46048.935867686261</v>
      </c>
    </row>
    <row r="17" spans="1:10">
      <c r="A17" s="2" t="s">
        <v>44</v>
      </c>
      <c r="B17" s="2" t="s">
        <v>45</v>
      </c>
      <c r="C17" s="2" t="s">
        <v>30</v>
      </c>
      <c r="D17" s="2" t="s">
        <v>14</v>
      </c>
      <c r="E17" s="2">
        <v>80</v>
      </c>
      <c r="F17" s="3">
        <v>150</v>
      </c>
      <c r="G17" s="4">
        <v>8.9</v>
      </c>
      <c r="H17" s="4">
        <f t="shared" si="0"/>
        <v>1335</v>
      </c>
      <c r="I17" s="2" t="str">
        <f>IF(F17&lt;=E17,"CRÍTICO",IF(F17&lt;=E17*1.5,"BAIXO","NORMAL"))</f>
        <v>NORMAL</v>
      </c>
      <c r="J17" s="5">
        <v>46058.935867686261</v>
      </c>
    </row>
    <row r="18" spans="1:10">
      <c r="A18" s="16" t="s">
        <v>46</v>
      </c>
      <c r="B18" s="17"/>
      <c r="C18" s="17"/>
      <c r="D18" s="17"/>
      <c r="E18" s="17"/>
      <c r="F18" s="17"/>
      <c r="G18" s="17"/>
      <c r="H18" s="6">
        <f>SUM(H3:H17)</f>
        <v>100587.1</v>
      </c>
      <c r="I18" s="7"/>
      <c r="J18" s="7"/>
    </row>
  </sheetData>
  <mergeCells count="2">
    <mergeCell ref="A1:J1"/>
    <mergeCell ref="A18:G18"/>
  </mergeCells>
  <conditionalFormatting sqref="I3:I17">
    <cfRule type="expression" dxfId="2" priority="1">
      <formula>I3="CRÍTICO"</formula>
    </cfRule>
    <cfRule type="expression" dxfId="1" priority="2">
      <formula>I3="BAIXO"</formula>
    </cfRule>
    <cfRule type="expression" dxfId="0" priority="3">
      <formula>I3="NORMAL"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5"/>
  <cols>
    <col min="1" max="1" width="30" customWidth="1"/>
    <col min="2" max="2" width="20" customWidth="1"/>
  </cols>
  <sheetData>
    <row r="1" spans="1:4" ht="30" customHeight="1">
      <c r="A1" s="14" t="s">
        <v>47</v>
      </c>
      <c r="B1" s="15"/>
      <c r="C1" s="15"/>
      <c r="D1" s="15"/>
    </row>
    <row r="3" spans="1:4" ht="15.75">
      <c r="A3" s="8" t="s">
        <v>48</v>
      </c>
      <c r="B3" s="9"/>
      <c r="C3" s="13"/>
      <c r="D3" s="13"/>
    </row>
    <row r="4" spans="1:4" ht="15.75">
      <c r="A4" s="8" t="s">
        <v>49</v>
      </c>
      <c r="B4" s="10"/>
      <c r="C4" s="13"/>
      <c r="D4" s="13"/>
    </row>
    <row r="5" spans="1:4" ht="15.75">
      <c r="A5" s="8" t="s">
        <v>50</v>
      </c>
      <c r="B5" s="9"/>
      <c r="C5" s="13"/>
      <c r="D5" s="13"/>
    </row>
    <row r="6" spans="1:4" ht="15.75">
      <c r="A6" s="8" t="s">
        <v>51</v>
      </c>
      <c r="B6" s="9"/>
      <c r="C6" s="13"/>
      <c r="D6" s="13"/>
    </row>
    <row r="8" spans="1:4" ht="15.75">
      <c r="A8" s="11" t="s">
        <v>52</v>
      </c>
      <c r="B8" s="13"/>
      <c r="C8" s="13"/>
      <c r="D8" s="13"/>
    </row>
    <row r="9" spans="1:4">
      <c r="A9" s="12" t="s">
        <v>3</v>
      </c>
      <c r="B9" s="12" t="s">
        <v>53</v>
      </c>
      <c r="C9" s="13"/>
      <c r="D9" s="13"/>
    </row>
    <row r="10" spans="1:4">
      <c r="A10" s="2" t="s">
        <v>13</v>
      </c>
      <c r="B10" s="2">
        <v>9</v>
      </c>
      <c r="C10" s="13"/>
      <c r="D10" s="13"/>
    </row>
    <row r="11" spans="1:4">
      <c r="A11" s="2" t="s">
        <v>23</v>
      </c>
      <c r="B11" s="2">
        <v>2</v>
      </c>
      <c r="C11" s="13"/>
      <c r="D11" s="13"/>
    </row>
    <row r="12" spans="1:4">
      <c r="A12" s="2" t="s">
        <v>30</v>
      </c>
      <c r="B12" s="2">
        <v>4</v>
      </c>
      <c r="C12" s="13"/>
      <c r="D12" s="13"/>
    </row>
  </sheetData>
  <mergeCells count="1">
    <mergeCell ref="A1:D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workbookViewId="0"/>
  </sheetViews>
  <sheetFormatPr defaultRowHeight="15"/>
  <cols>
    <col min="1" max="1" width="100" customWidth="1"/>
  </cols>
  <sheetData>
    <row r="1" spans="1:4" ht="24.95" customHeight="1">
      <c r="A1" s="18" t="s">
        <v>54</v>
      </c>
      <c r="B1" s="15"/>
      <c r="C1" s="15"/>
      <c r="D1" s="15"/>
    </row>
    <row r="2" spans="1:4" ht="20.100000000000001" customHeight="1">
      <c r="A2" s="15"/>
      <c r="B2" s="15"/>
      <c r="C2" s="15"/>
      <c r="D2" s="15"/>
    </row>
    <row r="3" spans="1:4" ht="20.100000000000001" customHeight="1">
      <c r="A3" s="19" t="s">
        <v>55</v>
      </c>
      <c r="B3" s="15"/>
      <c r="C3" s="15"/>
      <c r="D3" s="15"/>
    </row>
    <row r="4" spans="1:4" ht="20.100000000000001" customHeight="1">
      <c r="A4" s="15" t="s">
        <v>56</v>
      </c>
      <c r="B4" s="15"/>
      <c r="C4" s="15"/>
      <c r="D4" s="15"/>
    </row>
    <row r="5" spans="1:4" ht="20.100000000000001" customHeight="1">
      <c r="A5" s="15"/>
      <c r="B5" s="15"/>
      <c r="C5" s="15"/>
      <c r="D5" s="15"/>
    </row>
    <row r="6" spans="1:4" ht="20.100000000000001" customHeight="1">
      <c r="A6" s="19" t="s">
        <v>57</v>
      </c>
      <c r="B6" s="15"/>
      <c r="C6" s="15"/>
      <c r="D6" s="15"/>
    </row>
    <row r="7" spans="1:4" ht="20.100000000000001" customHeight="1">
      <c r="A7" s="20" t="s">
        <v>58</v>
      </c>
      <c r="B7" s="15"/>
      <c r="C7" s="15"/>
      <c r="D7" s="15"/>
    </row>
    <row r="8" spans="1:4" ht="20.100000000000001" customHeight="1">
      <c r="A8" s="20" t="s">
        <v>59</v>
      </c>
      <c r="B8" s="15"/>
      <c r="C8" s="15"/>
      <c r="D8" s="15"/>
    </row>
    <row r="9" spans="1:4" ht="20.100000000000001" customHeight="1">
      <c r="A9" s="20" t="s">
        <v>60</v>
      </c>
      <c r="B9" s="15"/>
      <c r="C9" s="15"/>
      <c r="D9" s="15"/>
    </row>
    <row r="10" spans="1:4" ht="20.100000000000001" customHeight="1">
      <c r="A10" s="20" t="s">
        <v>61</v>
      </c>
      <c r="B10" s="15"/>
      <c r="C10" s="15"/>
      <c r="D10" s="15"/>
    </row>
    <row r="11" spans="1:4" ht="20.100000000000001" customHeight="1">
      <c r="A11" s="15"/>
      <c r="B11" s="15"/>
      <c r="C11" s="15"/>
      <c r="D11" s="15"/>
    </row>
    <row r="12" spans="1:4" ht="20.100000000000001" customHeight="1">
      <c r="A12" s="19" t="s">
        <v>62</v>
      </c>
      <c r="B12" s="15"/>
      <c r="C12" s="15"/>
      <c r="D12" s="15"/>
    </row>
    <row r="13" spans="1:4" ht="20.100000000000001" customHeight="1">
      <c r="A13" s="20" t="s">
        <v>63</v>
      </c>
      <c r="B13" s="15"/>
      <c r="C13" s="15"/>
      <c r="D13" s="15"/>
    </row>
    <row r="14" spans="1:4" ht="20.100000000000001" customHeight="1">
      <c r="A14" s="20" t="s">
        <v>64</v>
      </c>
      <c r="B14" s="15"/>
      <c r="C14" s="15"/>
      <c r="D14" s="15"/>
    </row>
    <row r="15" spans="1:4" ht="20.100000000000001" customHeight="1">
      <c r="A15" s="20" t="s">
        <v>65</v>
      </c>
      <c r="B15" s="15"/>
      <c r="C15" s="15"/>
      <c r="D15" s="15"/>
    </row>
    <row r="16" spans="1:4" ht="20.100000000000001" customHeight="1">
      <c r="A16" s="20" t="s">
        <v>66</v>
      </c>
      <c r="B16" s="15"/>
      <c r="C16" s="15"/>
      <c r="D16" s="15"/>
    </row>
    <row r="17" spans="1:4" ht="20.100000000000001" customHeight="1">
      <c r="A17" s="20" t="s">
        <v>67</v>
      </c>
      <c r="B17" s="15"/>
      <c r="C17" s="15"/>
      <c r="D17" s="15"/>
    </row>
    <row r="18" spans="1:4" ht="20.100000000000001" customHeight="1">
      <c r="A18" s="20" t="s">
        <v>68</v>
      </c>
      <c r="B18" s="15"/>
      <c r="C18" s="15"/>
      <c r="D18" s="15"/>
    </row>
    <row r="19" spans="1:4" ht="20.100000000000001" customHeight="1">
      <c r="A19" s="20" t="s">
        <v>69</v>
      </c>
      <c r="B19" s="15"/>
      <c r="C19" s="15"/>
      <c r="D19" s="15"/>
    </row>
    <row r="20" spans="1:4" ht="20.100000000000001" customHeight="1">
      <c r="A20" s="20" t="s">
        <v>70</v>
      </c>
      <c r="B20" s="15"/>
      <c r="C20" s="15"/>
      <c r="D20" s="15"/>
    </row>
    <row r="21" spans="1:4" ht="20.100000000000001" customHeight="1">
      <c r="A21" s="20" t="s">
        <v>71</v>
      </c>
      <c r="B21" s="15"/>
      <c r="C21" s="15"/>
      <c r="D21" s="15"/>
    </row>
    <row r="22" spans="1:4" ht="20.100000000000001" customHeight="1">
      <c r="A22" s="20" t="s">
        <v>72</v>
      </c>
      <c r="B22" s="15"/>
      <c r="C22" s="15"/>
      <c r="D22" s="15"/>
    </row>
    <row r="23" spans="1:4" ht="20.100000000000001" customHeight="1">
      <c r="A23" s="15"/>
      <c r="B23" s="15"/>
      <c r="C23" s="15"/>
      <c r="D23" s="15"/>
    </row>
    <row r="24" spans="1:4" ht="20.100000000000001" customHeight="1">
      <c r="A24" s="19" t="s">
        <v>73</v>
      </c>
      <c r="B24" s="15"/>
      <c r="C24" s="15"/>
      <c r="D24" s="15"/>
    </row>
    <row r="25" spans="1:4" ht="20.100000000000001" customHeight="1">
      <c r="A25" s="15" t="s">
        <v>74</v>
      </c>
      <c r="B25" s="15"/>
      <c r="C25" s="15"/>
      <c r="D25" s="15"/>
    </row>
    <row r="26" spans="1:4" ht="20.100000000000001" customHeight="1">
      <c r="A26" s="15"/>
      <c r="B26" s="15"/>
      <c r="C26" s="15"/>
      <c r="D26" s="15"/>
    </row>
    <row r="27" spans="1:4" ht="20.100000000000001" customHeight="1">
      <c r="A27" s="19" t="s">
        <v>75</v>
      </c>
      <c r="B27" s="15"/>
      <c r="C27" s="15"/>
      <c r="D27" s="15"/>
    </row>
    <row r="28" spans="1:4" ht="20.100000000000001" customHeight="1">
      <c r="A28" s="20" t="s">
        <v>76</v>
      </c>
      <c r="B28" s="15"/>
      <c r="C28" s="15"/>
      <c r="D28" s="15"/>
    </row>
    <row r="29" spans="1:4" ht="20.100000000000001" customHeight="1">
      <c r="A29" s="20" t="s">
        <v>77</v>
      </c>
      <c r="B29" s="15"/>
      <c r="C29" s="15"/>
      <c r="D29" s="15"/>
    </row>
    <row r="30" spans="1:4" ht="20.100000000000001" customHeight="1">
      <c r="A30" s="20" t="s">
        <v>78</v>
      </c>
      <c r="B30" s="15"/>
      <c r="C30" s="15"/>
      <c r="D30" s="15"/>
    </row>
    <row r="31" spans="1:4" ht="20.100000000000001" customHeight="1">
      <c r="A31" s="15"/>
      <c r="B31" s="15"/>
      <c r="C31" s="15"/>
      <c r="D31" s="15"/>
    </row>
    <row r="32" spans="1:4" ht="20.100000000000001" customHeight="1">
      <c r="A32" s="19" t="s">
        <v>79</v>
      </c>
      <c r="B32" s="15"/>
      <c r="C32" s="15"/>
      <c r="D32" s="15"/>
    </row>
    <row r="33" spans="1:4" ht="20.100000000000001" customHeight="1">
      <c r="A33" s="15" t="s">
        <v>80</v>
      </c>
      <c r="B33" s="15"/>
      <c r="C33" s="15"/>
      <c r="D33" s="15"/>
    </row>
  </sheetData>
  <mergeCells count="33">
    <mergeCell ref="A31:D31"/>
    <mergeCell ref="A32:D32"/>
    <mergeCell ref="A33:D33"/>
    <mergeCell ref="A26:D26"/>
    <mergeCell ref="A27:D27"/>
    <mergeCell ref="A28:D28"/>
    <mergeCell ref="A29:D29"/>
    <mergeCell ref="A30:D30"/>
    <mergeCell ref="A21:D21"/>
    <mergeCell ref="A22:D22"/>
    <mergeCell ref="A23:D23"/>
    <mergeCell ref="A24:D24"/>
    <mergeCell ref="A25:D25"/>
    <mergeCell ref="A16:D16"/>
    <mergeCell ref="A17:D17"/>
    <mergeCell ref="A18:D18"/>
    <mergeCell ref="A19:D19"/>
    <mergeCell ref="A20:D20"/>
    <mergeCell ref="A11:D11"/>
    <mergeCell ref="A12:D12"/>
    <mergeCell ref="A13:D13"/>
    <mergeCell ref="A14:D14"/>
    <mergeCell ref="A15:D15"/>
    <mergeCell ref="A6:D6"/>
    <mergeCell ref="A7:D7"/>
    <mergeCell ref="A8:D8"/>
    <mergeCell ref="A9:D9"/>
    <mergeCell ref="A10:D10"/>
    <mergeCell ref="A1:D1"/>
    <mergeCell ref="A2:D2"/>
    <mergeCell ref="A3:D3"/>
    <mergeCell ref="A4:D4"/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2026-02-05T22:27:38Z</dcterms:created>
  <dcterms:modified xsi:type="dcterms:W3CDTF">2026-04-13T01:01:02Z</dcterms:modified>
  <cp:category/>
  <cp:contentStatus/>
</cp:coreProperties>
</file>